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vac\OneDrive\Masaüstü\"/>
    </mc:Choice>
  </mc:AlternateContent>
  <xr:revisionPtr revIDLastSave="0" documentId="8_{80E6257F-32BB-43E1-A8BA-12982346AEBE}" xr6:coauthVersionLast="47" xr6:coauthVersionMax="47" xr10:uidLastSave="{00000000-0000-0000-0000-000000000000}"/>
  <bookViews>
    <workbookView xWindow="4650" yWindow="1380" windowWidth="25500" windowHeight="19035" xr2:uid="{B82B9671-52E5-404C-8F6C-2A470B699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9" i="1" l="1"/>
  <c r="I18" i="1"/>
  <c r="L3" i="1"/>
  <c r="L4" i="1"/>
  <c r="L5" i="1"/>
  <c r="L6" i="1"/>
  <c r="L7" i="1"/>
  <c r="L8" i="1"/>
  <c r="L9" i="1"/>
  <c r="L10" i="1"/>
  <c r="L11" i="1"/>
  <c r="L2" i="1"/>
  <c r="I17" i="1" a="1"/>
  <c r="I17" i="1" s="1"/>
  <c r="K3" i="1"/>
  <c r="K4" i="1"/>
  <c r="K5" i="1"/>
  <c r="K6" i="1"/>
  <c r="K7" i="1"/>
  <c r="K8" i="1"/>
  <c r="K9" i="1"/>
  <c r="K10" i="1"/>
  <c r="K11" i="1"/>
  <c r="K2" i="1"/>
  <c r="I16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I14" i="1"/>
  <c r="I15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B15" i="1"/>
  <c r="D2" i="1" s="1"/>
  <c r="C3" i="1"/>
  <c r="C4" i="1"/>
  <c r="C5" i="1"/>
  <c r="C6" i="1"/>
  <c r="C7" i="1"/>
  <c r="C8" i="1"/>
  <c r="C9" i="1"/>
  <c r="C10" i="1"/>
  <c r="C11" i="1"/>
  <c r="C2" i="1"/>
  <c r="B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<sst xmlns="http://schemas.openxmlformats.org/spreadsheetml/2006/main" count="20" uniqueCount="20">
  <si>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x</t>
  </si>
  <si>
    <t>y</t>
  </si>
  <si>
    <t>b1</t>
  </si>
  <si>
    <t>b0</t>
  </si>
  <si>
    <t>x - x̄</t>
  </si>
  <si>
    <t>y - ȳ</t>
  </si>
  <si>
    <t>(x - x̄)(y - ȳ)</t>
  </si>
  <si>
    <t>x̄</t>
  </si>
  <si>
    <t>ȳ</t>
  </si>
  <si>
    <t>R2</t>
  </si>
  <si>
    <t>ŷ</t>
  </si>
  <si>
    <t>(x - x̄)²</t>
  </si>
  <si>
    <t>(y - ȳ)²</t>
  </si>
  <si>
    <t>ŷ-ȳ</t>
  </si>
  <si>
    <t>(ŷ-ȳ)²</t>
  </si>
  <si>
    <t>MAE</t>
  </si>
  <si>
    <t>y-ŷ</t>
  </si>
  <si>
    <t>MSE</t>
  </si>
  <si>
    <t>(y-ŷ)²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</si>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</sst>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B249-8BAB-42AB-BBFC-4CC9136BA2E8}">
  <dimension ref="A1:L19"/>
  <sheetViews>
    <sheetView tabSelected="1" workbookViewId="0">
      <selection activeCell="H20" sqref="H20"/>
    </sheetView>
  </sheetViews>
  <sheetFormatPr defaultRowHeight="15" x14ac:dyDescent="0.25"/>
  <cols>
    <col min="3" max="4" width="10.140625" bestFit="1" customWidth="1"/>
    <col min="5" max="5" width="14.7109375" bestFit="1" customWidth="1"/>
    <col min="6" max="6" width="16.5703125" bestFit="1" customWidth="1"/>
    <col min="7" max="7" width="11.42578125" customWidth="1"/>
    <col min="9" max="9" width="12" bestFit="1" customWidth="1"/>
  </cols>
  <sheetData>
    <row r="1" spans="1:12" x14ac:dyDescent="0.25">
      <c r="A1" t="s">
        <v>0</v>
      </c>
      <c r="B1" t="s">
        <v>1</v>
      </c>
      <c r="C1" t="s">
        <v>4</v>
      </c>
      <c r="D1" t="s">
        <v>5</v>
      </c>
      <c r="E1" t="s">
        <v>11</v>
      </c>
      <c r="F1" t="s">
        <v>6</v>
      </c>
      <c r="G1" t="s">
        <v>10</v>
      </c>
      <c r="H1" t="s">
        <v>12</v>
      </c>
      <c r="I1" t="s">
        <v>13</v>
      </c>
      <c r="J1" t="s">
        <v>14</v>
      </c>
      <c r="K1" t="s">
        <v>16</v>
      </c>
      <c r="L1" t="s">
        <v>18</v>
      </c>
    </row>
    <row r="2" spans="1:12" x14ac:dyDescent="0.25">
      <c r="A2">
        <v>35</v>
      </c>
      <c r="B2">
        <v>310</v>
      </c>
      <c r="C2">
        <f>A2-B$14</f>
        <v>-36.099999999999994</v>
      </c>
      <c r="D2">
        <f>B2-B$15</f>
        <v>-199</v>
      </c>
      <c r="E2">
        <f>POWER(C2,2)</f>
        <v>1303.2099999999996</v>
      </c>
      <c r="F2">
        <f>C2*D2</f>
        <v>7183.8999999999987</v>
      </c>
      <c r="G2">
        <f>I$15+I$14*A2</f>
        <v>312.78972732451621</v>
      </c>
      <c r="H2">
        <f>POWER(D2,2)</f>
        <v>39601</v>
      </c>
      <c r="I2">
        <f>G2-B$15</f>
        <v>-196.21027267548379</v>
      </c>
      <c r="J2">
        <f>POWER(I2,2)</f>
        <v>38498.471103387703</v>
      </c>
      <c r="K2">
        <f>B2-G2</f>
        <v>-2.7897273245162069</v>
      </c>
      <c r="L2">
        <f>POWER(K2,2)</f>
        <v>7.7825785451523535</v>
      </c>
    </row>
    <row r="3" spans="1:12" x14ac:dyDescent="0.25">
      <c r="A3">
        <v>42</v>
      </c>
      <c r="B3">
        <v>355</v>
      </c>
      <c r="C3">
        <f t="shared" ref="C3:C11" si="0">A3-B$14</f>
        <v>-29.099999999999994</v>
      </c>
      <c r="D3">
        <f t="shared" ref="D3:D11" si="1">B3-B$15</f>
        <v>-154</v>
      </c>
      <c r="E3">
        <f t="shared" ref="E3:E11" si="2">POWER(C3,2)</f>
        <v>846.80999999999972</v>
      </c>
      <c r="F3">
        <f t="shared" ref="F3:F11" si="3">C3*D3</f>
        <v>4481.3999999999987</v>
      </c>
      <c r="G3">
        <f t="shared" ref="G3:G11" si="4">I$15+I$14*A3</f>
        <v>350.83604058569034</v>
      </c>
      <c r="H3">
        <f t="shared" ref="H3:H11" si="5">POWER(D3,2)</f>
        <v>23716</v>
      </c>
      <c r="I3">
        <f t="shared" ref="I3:I11" si="6">G3-B$15</f>
        <v>-158.16395941430966</v>
      </c>
      <c r="J3">
        <f t="shared" ref="J3:J11" si="7">POWER(I3,2)</f>
        <v>25015.838057611392</v>
      </c>
      <c r="K3">
        <f t="shared" ref="K3:K11" si="8">B3-G3</f>
        <v>4.1639594143096588</v>
      </c>
      <c r="L3">
        <f t="shared" ref="L3:L11" si="9">POWER(K3,2)</f>
        <v>17.338558004018036</v>
      </c>
    </row>
    <row r="4" spans="1:12" x14ac:dyDescent="0.25">
      <c r="A4">
        <v>50</v>
      </c>
      <c r="B4">
        <v>395</v>
      </c>
      <c r="C4">
        <f t="shared" si="0"/>
        <v>-21.099999999999994</v>
      </c>
      <c r="D4">
        <f t="shared" si="1"/>
        <v>-114</v>
      </c>
      <c r="E4">
        <f t="shared" si="2"/>
        <v>445.20999999999975</v>
      </c>
      <c r="F4">
        <f t="shared" si="3"/>
        <v>2405.3999999999992</v>
      </c>
      <c r="G4">
        <f t="shared" si="4"/>
        <v>394.31754145560365</v>
      </c>
      <c r="H4">
        <f t="shared" si="5"/>
        <v>12996</v>
      </c>
      <c r="I4">
        <f t="shared" si="6"/>
        <v>-114.68245854439635</v>
      </c>
      <c r="J4">
        <f t="shared" si="7"/>
        <v>13152.066297787189</v>
      </c>
      <c r="K4">
        <f t="shared" si="8"/>
        <v>0.68245854439635423</v>
      </c>
      <c r="L4">
        <f t="shared" si="9"/>
        <v>0.46574966481959057</v>
      </c>
    </row>
    <row r="5" spans="1:12" x14ac:dyDescent="0.25">
      <c r="A5">
        <v>57</v>
      </c>
      <c r="B5">
        <v>430</v>
      </c>
      <c r="C5">
        <f t="shared" si="0"/>
        <v>-14.099999999999994</v>
      </c>
      <c r="D5">
        <f t="shared" si="1"/>
        <v>-79</v>
      </c>
      <c r="E5">
        <f t="shared" si="2"/>
        <v>198.80999999999983</v>
      </c>
      <c r="F5">
        <f t="shared" si="3"/>
        <v>1113.8999999999996</v>
      </c>
      <c r="G5">
        <f t="shared" si="4"/>
        <v>432.36385471677784</v>
      </c>
      <c r="H5">
        <f t="shared" si="5"/>
        <v>6241</v>
      </c>
      <c r="I5">
        <f t="shared" si="6"/>
        <v>-76.636145283222163</v>
      </c>
      <c r="J5">
        <f t="shared" si="7"/>
        <v>5873.0987638711349</v>
      </c>
      <c r="K5">
        <f t="shared" si="8"/>
        <v>-2.363854716777837</v>
      </c>
      <c r="L5">
        <f t="shared" si="9"/>
        <v>5.5878091220328283</v>
      </c>
    </row>
    <row r="6" spans="1:12" x14ac:dyDescent="0.25">
      <c r="A6">
        <v>65</v>
      </c>
      <c r="B6">
        <v>470</v>
      </c>
      <c r="C6">
        <f t="shared" si="0"/>
        <v>-6.0999999999999943</v>
      </c>
      <c r="D6">
        <f t="shared" si="1"/>
        <v>-39</v>
      </c>
      <c r="E6">
        <f t="shared" si="2"/>
        <v>37.20999999999993</v>
      </c>
      <c r="F6">
        <f t="shared" si="3"/>
        <v>237.89999999999978</v>
      </c>
      <c r="G6">
        <f t="shared" si="4"/>
        <v>475.84535558669114</v>
      </c>
      <c r="H6">
        <f t="shared" si="5"/>
        <v>1521</v>
      </c>
      <c r="I6">
        <f t="shared" si="6"/>
        <v>-33.154644413308858</v>
      </c>
      <c r="J6">
        <f t="shared" si="7"/>
        <v>1099.2304461729523</v>
      </c>
      <c r="K6">
        <f t="shared" si="8"/>
        <v>-5.8453555866911415</v>
      </c>
      <c r="L6">
        <f t="shared" si="9"/>
        <v>34.168181934861337</v>
      </c>
    </row>
    <row r="7" spans="1:12" x14ac:dyDescent="0.25">
      <c r="A7">
        <v>72</v>
      </c>
      <c r="B7">
        <v>515</v>
      </c>
      <c r="C7">
        <f t="shared" si="0"/>
        <v>0.90000000000000568</v>
      </c>
      <c r="D7">
        <f t="shared" si="1"/>
        <v>6</v>
      </c>
      <c r="E7">
        <f t="shared" si="2"/>
        <v>0.81000000000001027</v>
      </c>
      <c r="F7">
        <f t="shared" si="3"/>
        <v>5.4000000000000341</v>
      </c>
      <c r="G7">
        <f t="shared" si="4"/>
        <v>513.89166884786528</v>
      </c>
      <c r="H7">
        <f t="shared" si="5"/>
        <v>36</v>
      </c>
      <c r="I7">
        <f t="shared" si="6"/>
        <v>4.8916688478652759</v>
      </c>
      <c r="J7">
        <f t="shared" si="7"/>
        <v>23.928424117175595</v>
      </c>
      <c r="K7">
        <f t="shared" si="8"/>
        <v>1.1083311521347241</v>
      </c>
      <c r="L7">
        <f t="shared" si="9"/>
        <v>1.2283979427922849</v>
      </c>
    </row>
    <row r="8" spans="1:12" x14ac:dyDescent="0.25">
      <c r="A8">
        <v>80</v>
      </c>
      <c r="B8">
        <v>560</v>
      </c>
      <c r="C8">
        <f t="shared" si="0"/>
        <v>8.9000000000000057</v>
      </c>
      <c r="D8">
        <f t="shared" si="1"/>
        <v>51</v>
      </c>
      <c r="E8">
        <f t="shared" si="2"/>
        <v>79.210000000000107</v>
      </c>
      <c r="F8">
        <f t="shared" si="3"/>
        <v>453.90000000000032</v>
      </c>
      <c r="G8">
        <f t="shared" si="4"/>
        <v>557.37316971777864</v>
      </c>
      <c r="H8">
        <f t="shared" si="5"/>
        <v>2601</v>
      </c>
      <c r="I8">
        <f t="shared" si="6"/>
        <v>48.373169717778637</v>
      </c>
      <c r="J8">
        <f t="shared" si="7"/>
        <v>2339.9635485450162</v>
      </c>
      <c r="K8">
        <f t="shared" si="8"/>
        <v>2.6268302822213627</v>
      </c>
      <c r="L8">
        <f t="shared" si="9"/>
        <v>6.9002373315951644</v>
      </c>
    </row>
    <row r="9" spans="1:12" x14ac:dyDescent="0.25">
      <c r="A9">
        <v>90</v>
      </c>
      <c r="B9">
        <v>615</v>
      </c>
      <c r="C9">
        <f t="shared" si="0"/>
        <v>18.900000000000006</v>
      </c>
      <c r="D9">
        <f t="shared" si="1"/>
        <v>106</v>
      </c>
      <c r="E9">
        <f t="shared" si="2"/>
        <v>357.21000000000021</v>
      </c>
      <c r="F9">
        <f t="shared" si="3"/>
        <v>2003.4000000000005</v>
      </c>
      <c r="G9">
        <f t="shared" si="4"/>
        <v>611.72504580517034</v>
      </c>
      <c r="H9">
        <f t="shared" si="5"/>
        <v>11236</v>
      </c>
      <c r="I9">
        <f t="shared" si="6"/>
        <v>102.72504580517034</v>
      </c>
      <c r="J9">
        <f t="shared" si="7"/>
        <v>10552.435035674343</v>
      </c>
      <c r="K9">
        <f t="shared" si="8"/>
        <v>3.274954194829661</v>
      </c>
      <c r="L9">
        <f t="shared" si="9"/>
        <v>10.725324978232393</v>
      </c>
    </row>
    <row r="10" spans="1:12" x14ac:dyDescent="0.25">
      <c r="A10">
        <v>100</v>
      </c>
      <c r="B10">
        <v>670</v>
      </c>
      <c r="C10">
        <f t="shared" si="0"/>
        <v>28.900000000000006</v>
      </c>
      <c r="D10">
        <f t="shared" si="1"/>
        <v>161</v>
      </c>
      <c r="E10">
        <f t="shared" si="2"/>
        <v>835.21000000000038</v>
      </c>
      <c r="F10">
        <f t="shared" si="3"/>
        <v>4652.9000000000005</v>
      </c>
      <c r="G10">
        <f t="shared" si="4"/>
        <v>666.07692189256181</v>
      </c>
      <c r="H10">
        <f t="shared" si="5"/>
        <v>25921</v>
      </c>
      <c r="I10">
        <f t="shared" si="6"/>
        <v>157.07692189256181</v>
      </c>
      <c r="J10">
        <f t="shared" si="7"/>
        <v>24673.159391241963</v>
      </c>
      <c r="K10">
        <f t="shared" si="8"/>
        <v>3.9230781074381866</v>
      </c>
      <c r="L10">
        <f t="shared" si="9"/>
        <v>15.390541837060784</v>
      </c>
    </row>
    <row r="11" spans="1:12" x14ac:dyDescent="0.25">
      <c r="A11">
        <v>120</v>
      </c>
      <c r="B11">
        <v>770</v>
      </c>
      <c r="C11">
        <f t="shared" si="0"/>
        <v>48.900000000000006</v>
      </c>
      <c r="D11">
        <f t="shared" si="1"/>
        <v>261</v>
      </c>
      <c r="E11">
        <f t="shared" si="2"/>
        <v>2391.2100000000005</v>
      </c>
      <c r="F11">
        <f t="shared" si="3"/>
        <v>12762.900000000001</v>
      </c>
      <c r="G11">
        <f t="shared" si="4"/>
        <v>774.78067406734522</v>
      </c>
      <c r="H11">
        <f t="shared" si="5"/>
        <v>68121</v>
      </c>
      <c r="I11">
        <f t="shared" si="6"/>
        <v>265.78067406734522</v>
      </c>
      <c r="J11">
        <f t="shared" si="7"/>
        <v>70639.366707692388</v>
      </c>
      <c r="K11">
        <f t="shared" si="8"/>
        <v>-4.7806740673452168</v>
      </c>
      <c r="L11">
        <f t="shared" si="9"/>
        <v>22.854844538187059</v>
      </c>
    </row>
    <row r="14" spans="1:12" x14ac:dyDescent="0.25">
      <c r="A14" t="s">
        <v>7</v>
      </c>
      <c r="B14">
        <f>SUM(A2:A11)/10</f>
        <v>71.099999999999994</v>
      </c>
      <c r="H14" t="s">
        <v>2</v>
      </c>
      <c r="I14">
        <f>SUM(F2:F11)/SUM(E2:E11)</f>
        <v>5.4351876087391648</v>
      </c>
    </row>
    <row r="15" spans="1:12" x14ac:dyDescent="0.25">
      <c r="A15" t="s">
        <v>8</v>
      </c>
      <c r="B15">
        <f>SUM(B2:B11)/10</f>
        <v>509</v>
      </c>
      <c r="H15" t="s">
        <v>3</v>
      </c>
      <c r="I15">
        <f>B15-(I14*B14)</f>
        <v>122.55816101864542</v>
      </c>
    </row>
    <row r="16" spans="1:12" x14ac:dyDescent="0.25">
      <c r="H16" t="s">
        <v>9</v>
      </c>
      <c r="I16">
        <f>SUM(J2:J11)/SUM(H2:H11)</f>
        <v>0.9993622468675516</v>
      </c>
    </row>
    <row r="17" spans="8:9" x14ac:dyDescent="0.25">
      <c r="H17" t="s">
        <v>15</v>
      </c>
      <c r="I17" cm="1">
        <f t="array" ref="I17">SUM(ABS(K2:K11))/10</f>
        <v>3.1559223390660351</v>
      </c>
    </row>
    <row r="18" spans="8:9" x14ac:dyDescent="0.25">
      <c r="H18" t="s">
        <v>17</v>
      </c>
      <c r="I18">
        <f>SUM(L2:L11)/10</f>
        <v>12.244222389875182</v>
      </c>
    </row>
    <row r="19" spans="8:9" x14ac:dyDescent="0.25">
      <c r="H19" t="s">
        <v>19</v>
      </c>
      <c r="I19">
        <f>SQRT(I18)</f>
        <v>3.4991745297820143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Tamer Can Totos</dc:creator>
  <cp:lastModifiedBy>Tamer Can Totos</cp:lastModifiedBy>
  <dcterms:created xsi:type="dcterms:W3CDTF">2026-10-11T14:00:42Z</dcterms:created>
  <dcterms:modified xsi:type="dcterms:W3CDTF">2026-10-11T17:47:17Z</dcterms:modified>
</cp:coreProperties>
</file>